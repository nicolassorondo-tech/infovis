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468A2B9C-062F-4469-AADE-0424F9851E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orial de Compras" sheetId="1" r:id="rId1"/>
    <sheet name="Resumen General" sheetId="2" r:id="rId2"/>
  </sheets>
  <definedNames>
    <definedName name="_xlnm._FilterDatabase" localSheetId="0" hidden="1">'Historial de Compras'!$A$4:$L$51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C5" i="2"/>
  <c r="G5" i="2"/>
  <c r="A5" i="2" l="1"/>
</calcChain>
</file>

<file path=xl/sharedStrings.xml><?xml version="1.0" encoding="utf-8"?>
<sst xmlns="http://schemas.openxmlformats.org/spreadsheetml/2006/main" count="371" uniqueCount="168">
  <si>
    <t>HISTORIAL DE COMPRAS - MERCADO LIBRE</t>
  </si>
  <si>
    <t>Usuario: NICOLAS SORONDO | Moneda: ARS ($) | Fecha de extracción: Agosto 2026</t>
  </si>
  <si>
    <t>#</t>
  </si>
  <si>
    <t>Fecha</t>
  </si>
  <si>
    <t>Hora</t>
  </si>
  <si>
    <t>Producto / Descripción</t>
  </si>
  <si>
    <t>Estado Compra</t>
  </si>
  <si>
    <t>Monto Total ($)</t>
  </si>
  <si>
    <t>Costo Envío ($)</t>
  </si>
  <si>
    <t>Medio de Pago</t>
  </si>
  <si>
    <t>Tipo de Pago</t>
  </si>
  <si>
    <t>Cuotas</t>
  </si>
  <si>
    <t>Monto Cuota ($)</t>
  </si>
  <si>
    <t>2026-08-13</t>
  </si>
  <si>
    <t>14:05</t>
  </si>
  <si>
    <t>Vonixx Prizm Restaurador De Vidrios 500ml</t>
  </si>
  <si>
    <t>Pagado</t>
  </si>
  <si>
    <t>Visa</t>
  </si>
  <si>
    <t>Tarjeta de Crédito</t>
  </si>
  <si>
    <t>10:18</t>
  </si>
  <si>
    <t>Limpia Inyectores Nafta Injection Reiniger Liquimoly 2124</t>
  </si>
  <si>
    <t>Dinero en Cuenta</t>
  </si>
  <si>
    <t>10:15</t>
  </si>
  <si>
    <t>Alimento Seca Mon Ami Mix Adulto Salud Oral Para Gato 1.4 Kg</t>
  </si>
  <si>
    <t>2026-08-11</t>
  </si>
  <si>
    <t>20:45</t>
  </si>
  <si>
    <t>Duchador Anticalcareo Peirano A819 Abs Color Cromo Acabado Cromado Gris Para Baño Con Manguera Flexible Y Soporte</t>
  </si>
  <si>
    <t>2026-07-29</t>
  </si>
  <si>
    <t>18:07</t>
  </si>
  <si>
    <t>Llave De Transferencia Para Filtros De Agua De Sobremesada</t>
  </si>
  <si>
    <t>2026-07-20</t>
  </si>
  <si>
    <t>11:05</t>
  </si>
  <si>
    <t>Sir Fausto Sea Salt Textura Texturizante Efecto Áspero 250ml</t>
  </si>
  <si>
    <t>2026-07-17</t>
  </si>
  <si>
    <t>14:08</t>
  </si>
  <si>
    <t>Estante Anaquel Puerta Botella Para Heladera Gafa Eurosystem</t>
  </si>
  <si>
    <t>2026-07-04</t>
  </si>
  <si>
    <t>09:53</t>
  </si>
  <si>
    <t>Libro Frená Tu Cabeza - Marina Mammoliti - Grijalbo</t>
  </si>
  <si>
    <t>2026-07-03</t>
  </si>
  <si>
    <t>12:39</t>
  </si>
  <si>
    <t>Placout Mantenimiento Enjuague Bucal 500 Ml</t>
  </si>
  <si>
    <t>2026-06-18</t>
  </si>
  <si>
    <t>Kit De Filtros Ford Ka Kinetic 2016/en Adel Original</t>
  </si>
  <si>
    <t>2026-06-17</t>
  </si>
  <si>
    <t>17:00</t>
  </si>
  <si>
    <t>Pack X 3 Paquetes Esponja Magica Quitamanchas X 3 Unidades</t>
  </si>
  <si>
    <t>2026-06-15</t>
  </si>
  <si>
    <t>16:16</t>
  </si>
  <si>
    <t>Smart Tv Samsung 43 Neo Qled 4k Qn90c Tv Gaming</t>
  </si>
  <si>
    <t>Cancelado</t>
  </si>
  <si>
    <t>2026-06-11</t>
  </si>
  <si>
    <t>10:10</t>
  </si>
  <si>
    <t>Mon Ami Gato Adulto Alimento Saludable  X 6 Kg</t>
  </si>
  <si>
    <t>2026-05-10</t>
  </si>
  <si>
    <t>11:51</t>
  </si>
  <si>
    <t>Kit Limpieza Alcohol Isopropilico 500cc Breaking Lab 99%</t>
  </si>
  <si>
    <t>2026-04-25</t>
  </si>
  <si>
    <t>11:40</t>
  </si>
  <si>
    <t>Cesto De Basura Automático Tacho Inteligente Con Sensor 15 L Negro</t>
  </si>
  <si>
    <t>2026-04-17</t>
  </si>
  <si>
    <t>15:08</t>
  </si>
  <si>
    <t>Termo Lumilagro Amigo 1 Litro Pico Vertedor - Cc-online</t>
  </si>
  <si>
    <t>2026-04-12</t>
  </si>
  <si>
    <t>21:04</t>
  </si>
  <si>
    <t>Alimento Para Gatos Mon Ami 6 Kg Saludable Ultra Premium</t>
  </si>
  <si>
    <t>20:51</t>
  </si>
  <si>
    <t>Lámpara Smart Wi-fi Akai Tipo Gota 6w Rgb</t>
  </si>
  <si>
    <t>Rodillo Saca Pelusas Scotch Brite 3m 56 Hojas X3 Unid. Gris</t>
  </si>
  <si>
    <t>19:59</t>
  </si>
  <si>
    <t>Pistola Encoladora Suprabond Electrica Silicona Px300 Barras</t>
  </si>
  <si>
    <t>2026-04-05</t>
  </si>
  <si>
    <t>14:36</t>
  </si>
  <si>
    <t>Perfume Mujer Lattafa Yara Edp 100 Ml</t>
  </si>
  <si>
    <t>2026-04-01</t>
  </si>
  <si>
    <t>10:54</t>
  </si>
  <si>
    <t>Armaf Club De Nuit Club De Nuit Impériale Edp 105 ml Para Mujer</t>
  </si>
  <si>
    <t>2026-02-28</t>
  </si>
  <si>
    <t>19:52</t>
  </si>
  <si>
    <t>Carpa Playera Automatica Montagne Praia  Auto-armable</t>
  </si>
  <si>
    <t>11:52</t>
  </si>
  <si>
    <t>Convertidor Roku Premiere 4k Hdr Streaming + Control Remoto Color Negro Estándar</t>
  </si>
  <si>
    <t>2026-02-12</t>
  </si>
  <si>
    <t>10:22</t>
  </si>
  <si>
    <t>2026-02-07</t>
  </si>
  <si>
    <t>11:37</t>
  </si>
  <si>
    <t>Gorro Piluso Indio Solari Y Los Fundamentalistas, Los Redond</t>
  </si>
  <si>
    <t>2026-02-06</t>
  </si>
  <si>
    <t>14:31</t>
  </si>
  <si>
    <t>Estaca Tirabuzon Carpa Sombrilla Perro Playa Gazebo X 4 Unid Negro</t>
  </si>
  <si>
    <t>2026-02-04</t>
  </si>
  <si>
    <t>22:43</t>
  </si>
  <si>
    <t>Repuesto Tulipa Globo 15cm Vidrio Opal Satinado Sin Cuello</t>
  </si>
  <si>
    <t>2026-02-03</t>
  </si>
  <si>
    <t>22:02</t>
  </si>
  <si>
    <t>Grip Agarre De Silicona Calleras Para Gimnasio Calistenia 100</t>
  </si>
  <si>
    <t>2026-01-29</t>
  </si>
  <si>
    <t>19:47</t>
  </si>
  <si>
    <t>2026-01-26</t>
  </si>
  <si>
    <t>18:10</t>
  </si>
  <si>
    <t>2026-01-13</t>
  </si>
  <si>
    <t>08:58</t>
  </si>
  <si>
    <t>Perfume Lattafa Asad Eau De Parfum Hombre 100ml</t>
  </si>
  <si>
    <t>2026-01-12</t>
  </si>
  <si>
    <t>10:25</t>
  </si>
  <si>
    <t>Suplemento En Polvo Bsn Creatina Monohidrato Micronizada En Pote De 309g</t>
  </si>
  <si>
    <t>2026-01-08</t>
  </si>
  <si>
    <t>17:48</t>
  </si>
  <si>
    <t>Repuesto Catit Filtros X5u. Triple Accion Bebedero Gatos Color Blanco</t>
  </si>
  <si>
    <t>2026-01-05</t>
  </si>
  <si>
    <t>Bomba De Agua Bebederos Gatos Sumergible Feng Shui Led Usb</t>
  </si>
  <si>
    <t>Repuesto Para Filtro De Agua Linea Aqua Dvigi 102 Color Gris</t>
  </si>
  <si>
    <t>Llave Derivadora Válvula By Pass Purificador Agua + Manguera</t>
  </si>
  <si>
    <t>2025-12-02</t>
  </si>
  <si>
    <t>Yerba Mate Zona Centro Barbacua 1 Kg Pack X10</t>
  </si>
  <si>
    <t>2025-11-22</t>
  </si>
  <si>
    <t>09:58</t>
  </si>
  <si>
    <t>Creatina Monohidrato 600 Grs Natural Nutrition Sin Sabor</t>
  </si>
  <si>
    <t>2025-11-02</t>
  </si>
  <si>
    <t>23:03</t>
  </si>
  <si>
    <t>Suplemento Bsn Creatina Monohidratada Micronizada X 60 Servicios 309g</t>
  </si>
  <si>
    <t>Pancake Proteico Salado Sabor Queso Granger X 300gr - Queso</t>
  </si>
  <si>
    <t>2025-10-31</t>
  </si>
  <si>
    <t>08:36</t>
  </si>
  <si>
    <t>Alimento Nutrique Ultra Premium Sterilised / Healthy Weight Para Gato Sabor Mix En Bolsa De 7.5kg</t>
  </si>
  <si>
    <t>American Express</t>
  </si>
  <si>
    <t>2025-10-12</t>
  </si>
  <si>
    <t>19:02</t>
  </si>
  <si>
    <t>Cortabarba Multigroom Philips Serie 7000 13 En 1</t>
  </si>
  <si>
    <t>2025-09-25</t>
  </si>
  <si>
    <t>17:04</t>
  </si>
  <si>
    <t xml:space="preserve">Nutrique Sterilised /healthy Weight Castrado Gato X 2kg </t>
  </si>
  <si>
    <t>2025-09-18</t>
  </si>
  <si>
    <t>19:35</t>
  </si>
  <si>
    <t>Sonax Gloss Shampoo Brillo Super Concentrado Ph Neutro 1 Litro</t>
  </si>
  <si>
    <t>2025-08-28</t>
  </si>
  <si>
    <t>10:03</t>
  </si>
  <si>
    <t>PANEL DE RESUMEN - ANÁLISIS DE COMPRAS</t>
  </si>
  <si>
    <t>Métricas consolidadas y desglose mensual / por medio de pago</t>
  </si>
  <si>
    <t>TOTAL GASTADO (ARS)</t>
  </si>
  <si>
    <t>TOTAL OPERACIONES</t>
  </si>
  <si>
    <t>COMPRAS PAGADAS</t>
  </si>
  <si>
    <t>PROMEDIO POR COMPRA</t>
  </si>
  <si>
    <t>Gasto Mensual</t>
  </si>
  <si>
    <t>Gasto por Tipo de Pago</t>
  </si>
  <si>
    <t>Mes</t>
  </si>
  <si>
    <t>Operaciones</t>
  </si>
  <si>
    <t>Total Gastado ($)</t>
  </si>
  <si>
    <t>2025-08</t>
  </si>
  <si>
    <t>2025-09</t>
  </si>
  <si>
    <t>2025-10</t>
  </si>
  <si>
    <t>2025-11</t>
  </si>
  <si>
    <t>2025-12</t>
  </si>
  <si>
    <t>2026-01</t>
  </si>
  <si>
    <t>2026-02</t>
  </si>
  <si>
    <t>2026-04</t>
  </si>
  <si>
    <t>2026-05</t>
  </si>
  <si>
    <t>2026-06</t>
  </si>
  <si>
    <t>2026-07</t>
  </si>
  <si>
    <t>2026-08</t>
  </si>
  <si>
    <t>Categoria</t>
  </si>
  <si>
    <t>Autos</t>
  </si>
  <si>
    <t>Gatos</t>
  </si>
  <si>
    <t>Hogar</t>
  </si>
  <si>
    <t>Cuidado Personal</t>
  </si>
  <si>
    <t>Libros</t>
  </si>
  <si>
    <t>Entretenimiento</t>
  </si>
  <si>
    <t>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</si>
</sst>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10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9"/>
      <color rgb="FF595959"/>
      <name val="Segoe UI"/>
    </font>
    <font>
      <b/>
      <sz val="11"/>
      <color rgb="FFFFFFFF"/>
      <name val="Segoe UI"/>
    </font>
    <font>
      <b/>
      <sz val="10"/>
      <color rgb="FF0E6251"/>
      <name val="Segoe UI"/>
    </font>
    <font>
      <sz val="10"/>
      <name val="Segoe UI"/>
    </font>
    <font>
      <b/>
      <sz val="10"/>
      <color rgb="FF922B21"/>
      <name val="Segoe UI"/>
    </font>
    <font>
      <b/>
      <sz val="9"/>
      <color rgb="FF595959"/>
      <name val="Segoe UI"/>
    </font>
    <font>
      <b/>
      <sz val="14"/>
      <color rgb="FF1F4E79"/>
      <name val="Segoe UI"/>
    </font>
    <font>
      <b/>
      <sz val="12"/>
      <color rgb="FF1F4E7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3" fontId="8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4" topLeftCell="A5" activePane="bottomLeft" state="frozen"/>
      <selection pane="bottomLeft" activeCell="L16" sqref="L16"/>
    </sheetView>
  </sheetViews>
  <sheetFormatPr baseColWidth="10" defaultColWidth="8.88671875" defaultRowHeight="14.4" x14ac:dyDescent="0.3"/>
  <cols>
    <col min="1" max="1" width="62.88671875" bestFit="1" customWidth="1"/>
    <col min="2" max="3" width="18" customWidth="1"/>
    <col min="4" max="4" width="50" customWidth="1"/>
    <col min="5" max="5" width="27.5546875" style="20" customWidth="1"/>
    <col min="6" max="12" width="18" customWidth="1"/>
  </cols>
  <sheetData>
    <row r="1" spans="1:12" ht="30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8" customHeight="1" x14ac:dyDescent="0.3">
      <c r="A2" s="1" t="s">
        <v>1</v>
      </c>
    </row>
    <row r="4" spans="1:12" ht="25.9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160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1:12" ht="19.95" customHeight="1" x14ac:dyDescent="0.3">
      <c r="A5" s="3">
        <v>1</v>
      </c>
      <c r="B5" s="3" t="s">
        <v>13</v>
      </c>
      <c r="C5" s="3" t="s">
        <v>14</v>
      </c>
      <c r="D5" s="4" t="s">
        <v>15</v>
      </c>
      <c r="E5" s="3" t="s">
        <v>161</v>
      </c>
      <c r="F5" s="5" t="s">
        <v>16</v>
      </c>
      <c r="G5" s="6">
        <v>24742</v>
      </c>
      <c r="H5" s="6">
        <v>0</v>
      </c>
      <c r="I5" s="3" t="s">
        <v>17</v>
      </c>
      <c r="J5" s="3" t="s">
        <v>18</v>
      </c>
      <c r="K5" s="3">
        <v>6</v>
      </c>
      <c r="L5" s="6">
        <v>4123.67</v>
      </c>
    </row>
    <row r="6" spans="1:12" ht="19.95" customHeight="1" x14ac:dyDescent="0.3">
      <c r="A6" s="7">
        <v>2</v>
      </c>
      <c r="B6" s="7" t="s">
        <v>13</v>
      </c>
      <c r="C6" s="7" t="s">
        <v>19</v>
      </c>
      <c r="D6" s="8" t="s">
        <v>20</v>
      </c>
      <c r="E6" s="7" t="s">
        <v>161</v>
      </c>
      <c r="F6" s="9" t="s">
        <v>16</v>
      </c>
      <c r="G6" s="10">
        <v>150145.45000000001</v>
      </c>
      <c r="H6" s="10">
        <v>0</v>
      </c>
      <c r="I6" s="7" t="s">
        <v>21</v>
      </c>
      <c r="J6" s="7" t="s">
        <v>21</v>
      </c>
      <c r="K6" s="7">
        <v>1</v>
      </c>
      <c r="L6" s="10">
        <v>0</v>
      </c>
    </row>
    <row r="7" spans="1:12" ht="19.95" customHeight="1" x14ac:dyDescent="0.3">
      <c r="A7" s="3">
        <v>3</v>
      </c>
      <c r="B7" s="3" t="s">
        <v>13</v>
      </c>
      <c r="C7" s="3" t="s">
        <v>22</v>
      </c>
      <c r="D7" s="4" t="s">
        <v>23</v>
      </c>
      <c r="E7" s="3" t="s">
        <v>162</v>
      </c>
      <c r="F7" s="5" t="s">
        <v>16</v>
      </c>
      <c r="G7" s="6">
        <v>26875</v>
      </c>
      <c r="H7" s="6">
        <v>0</v>
      </c>
      <c r="I7" s="3" t="s">
        <v>17</v>
      </c>
      <c r="J7" s="3" t="s">
        <v>18</v>
      </c>
      <c r="K7" s="3">
        <v>2</v>
      </c>
      <c r="L7" s="6">
        <v>13437.5</v>
      </c>
    </row>
    <row r="8" spans="1:12" ht="19.95" customHeight="1" x14ac:dyDescent="0.3">
      <c r="A8" s="7">
        <v>4</v>
      </c>
      <c r="B8" s="7" t="s">
        <v>24</v>
      </c>
      <c r="C8" s="7" t="s">
        <v>25</v>
      </c>
      <c r="D8" s="8" t="s">
        <v>26</v>
      </c>
      <c r="E8" s="7" t="s">
        <v>163</v>
      </c>
      <c r="F8" s="9" t="s">
        <v>16</v>
      </c>
      <c r="G8" s="10">
        <v>57247</v>
      </c>
      <c r="H8" s="10">
        <v>0</v>
      </c>
      <c r="I8" s="7" t="s">
        <v>17</v>
      </c>
      <c r="J8" s="7" t="s">
        <v>18</v>
      </c>
      <c r="K8" s="7">
        <v>6</v>
      </c>
      <c r="L8" s="10">
        <v>9541.17</v>
      </c>
    </row>
    <row r="9" spans="1:12" ht="19.95" customHeight="1" x14ac:dyDescent="0.3">
      <c r="A9" s="3">
        <v>5</v>
      </c>
      <c r="B9" s="3" t="s">
        <v>27</v>
      </c>
      <c r="C9" s="3" t="s">
        <v>28</v>
      </c>
      <c r="D9" s="4" t="s">
        <v>29</v>
      </c>
      <c r="E9" s="3" t="s">
        <v>163</v>
      </c>
      <c r="F9" s="5" t="s">
        <v>16</v>
      </c>
      <c r="G9" s="6">
        <v>37899</v>
      </c>
      <c r="H9" s="6">
        <v>0</v>
      </c>
      <c r="I9" s="3" t="s">
        <v>17</v>
      </c>
      <c r="J9" s="3" t="s">
        <v>18</v>
      </c>
      <c r="K9" s="3">
        <v>1</v>
      </c>
      <c r="L9" s="6">
        <v>37899</v>
      </c>
    </row>
    <row r="10" spans="1:12" ht="19.95" customHeight="1" x14ac:dyDescent="0.3">
      <c r="A10" s="7">
        <v>6</v>
      </c>
      <c r="B10" s="7" t="s">
        <v>30</v>
      </c>
      <c r="C10" s="7" t="s">
        <v>31</v>
      </c>
      <c r="D10" s="8" t="s">
        <v>32</v>
      </c>
      <c r="E10" s="7" t="s">
        <v>164</v>
      </c>
      <c r="F10" s="9" t="s">
        <v>16</v>
      </c>
      <c r="G10" s="10">
        <v>26435</v>
      </c>
      <c r="H10" s="10">
        <v>0</v>
      </c>
      <c r="I10" s="7" t="s">
        <v>17</v>
      </c>
      <c r="J10" s="7" t="s">
        <v>18</v>
      </c>
      <c r="K10" s="7">
        <v>1</v>
      </c>
      <c r="L10" s="10">
        <v>26435</v>
      </c>
    </row>
    <row r="11" spans="1:12" ht="19.95" customHeight="1" x14ac:dyDescent="0.3">
      <c r="A11" s="3">
        <v>7</v>
      </c>
      <c r="B11" s="3" t="s">
        <v>33</v>
      </c>
      <c r="C11" s="3" t="s">
        <v>34</v>
      </c>
      <c r="D11" s="4" t="s">
        <v>35</v>
      </c>
      <c r="E11" s="3" t="s">
        <v>163</v>
      </c>
      <c r="F11" s="5" t="s">
        <v>16</v>
      </c>
      <c r="G11" s="6">
        <v>30638</v>
      </c>
      <c r="H11" s="6">
        <v>0</v>
      </c>
      <c r="I11" s="3" t="s">
        <v>17</v>
      </c>
      <c r="J11" s="3" t="s">
        <v>18</v>
      </c>
      <c r="K11" s="3">
        <v>1</v>
      </c>
      <c r="L11" s="6">
        <v>30638</v>
      </c>
    </row>
    <row r="12" spans="1:12" ht="19.95" customHeight="1" x14ac:dyDescent="0.3">
      <c r="A12" s="7">
        <v>8</v>
      </c>
      <c r="B12" s="7" t="s">
        <v>36</v>
      </c>
      <c r="C12" s="7" t="s">
        <v>37</v>
      </c>
      <c r="D12" s="8" t="s">
        <v>38</v>
      </c>
      <c r="E12" s="7" t="s">
        <v>165</v>
      </c>
      <c r="F12" s="9" t="s">
        <v>16</v>
      </c>
      <c r="G12" s="10">
        <v>35815</v>
      </c>
      <c r="H12" s="10">
        <v>0</v>
      </c>
      <c r="I12" s="7" t="s">
        <v>17</v>
      </c>
      <c r="J12" s="7" t="s">
        <v>18</v>
      </c>
      <c r="K12" s="7">
        <v>6</v>
      </c>
      <c r="L12" s="10">
        <v>5730.33</v>
      </c>
    </row>
    <row r="13" spans="1:12" ht="19.95" customHeight="1" x14ac:dyDescent="0.3">
      <c r="A13" s="3">
        <v>9</v>
      </c>
      <c r="B13" s="3" t="s">
        <v>39</v>
      </c>
      <c r="C13" s="3" t="s">
        <v>40</v>
      </c>
      <c r="D13" s="4" t="s">
        <v>41</v>
      </c>
      <c r="E13" s="3" t="s">
        <v>164</v>
      </c>
      <c r="F13" s="5" t="s">
        <v>16</v>
      </c>
      <c r="G13" s="6">
        <v>20844.73</v>
      </c>
      <c r="H13" s="6">
        <v>0</v>
      </c>
      <c r="I13" s="3" t="s">
        <v>17</v>
      </c>
      <c r="J13" s="3" t="s">
        <v>18</v>
      </c>
      <c r="K13" s="3">
        <v>2</v>
      </c>
      <c r="L13" s="6">
        <v>10422.370000000001</v>
      </c>
    </row>
    <row r="14" spans="1:12" ht="19.95" customHeight="1" x14ac:dyDescent="0.3">
      <c r="A14" s="7">
        <v>10</v>
      </c>
      <c r="B14" s="7" t="s">
        <v>42</v>
      </c>
      <c r="C14" s="7" t="s">
        <v>28</v>
      </c>
      <c r="D14" s="8" t="s">
        <v>43</v>
      </c>
      <c r="E14" s="7" t="s">
        <v>161</v>
      </c>
      <c r="F14" s="9" t="s">
        <v>16</v>
      </c>
      <c r="G14" s="10">
        <v>110521</v>
      </c>
      <c r="H14" s="10">
        <v>0</v>
      </c>
      <c r="I14" s="7" t="s">
        <v>17</v>
      </c>
      <c r="J14" s="7" t="s">
        <v>18</v>
      </c>
      <c r="K14" s="7">
        <v>6</v>
      </c>
      <c r="L14" s="10">
        <v>18420.169999999998</v>
      </c>
    </row>
    <row r="15" spans="1:12" ht="19.95" customHeight="1" x14ac:dyDescent="0.3">
      <c r="A15" s="3">
        <v>11</v>
      </c>
      <c r="B15" s="3" t="s">
        <v>44</v>
      </c>
      <c r="C15" s="3" t="s">
        <v>45</v>
      </c>
      <c r="D15" s="4" t="s">
        <v>46</v>
      </c>
      <c r="E15" s="3" t="s">
        <v>163</v>
      </c>
      <c r="F15" s="5" t="s">
        <v>16</v>
      </c>
      <c r="G15" s="6">
        <v>15978</v>
      </c>
      <c r="H15" s="6">
        <v>0</v>
      </c>
      <c r="I15" s="3" t="s">
        <v>21</v>
      </c>
      <c r="J15" s="3" t="s">
        <v>21</v>
      </c>
      <c r="K15" s="3">
        <v>1</v>
      </c>
      <c r="L15" s="6">
        <v>0</v>
      </c>
    </row>
    <row r="16" spans="1:12" ht="19.95" customHeight="1" x14ac:dyDescent="0.3">
      <c r="A16" s="7">
        <v>12</v>
      </c>
      <c r="B16" s="7" t="s">
        <v>47</v>
      </c>
      <c r="C16" s="7" t="s">
        <v>48</v>
      </c>
      <c r="D16" s="8" t="s">
        <v>49</v>
      </c>
      <c r="E16" s="7" t="s">
        <v>166</v>
      </c>
      <c r="F16" s="11" t="s">
        <v>50</v>
      </c>
      <c r="G16" s="10">
        <v>0</v>
      </c>
      <c r="H16" s="10">
        <v>0</v>
      </c>
      <c r="I16" s="7" t="s">
        <v>17</v>
      </c>
      <c r="J16" s="7" t="s">
        <v>18</v>
      </c>
      <c r="K16" s="7">
        <v>12</v>
      </c>
      <c r="L16" s="10">
        <v>146821.67000000001</v>
      </c>
    </row>
    <row r="17" spans="1:12" ht="19.95" customHeight="1" x14ac:dyDescent="0.3">
      <c r="A17" s="3">
        <v>13</v>
      </c>
      <c r="B17" s="3" t="s">
        <v>51</v>
      </c>
      <c r="C17" s="3" t="s">
        <v>52</v>
      </c>
      <c r="D17" s="4" t="s">
        <v>53</v>
      </c>
      <c r="E17" s="3" t="s">
        <v>162</v>
      </c>
      <c r="F17" s="5" t="s">
        <v>16</v>
      </c>
      <c r="G17" s="6">
        <v>92270</v>
      </c>
      <c r="H17" s="6">
        <v>0</v>
      </c>
      <c r="I17" s="3" t="s">
        <v>17</v>
      </c>
      <c r="J17" s="3" t="s">
        <v>18</v>
      </c>
      <c r="K17" s="3">
        <v>3</v>
      </c>
      <c r="L17" s="6">
        <v>30756.67</v>
      </c>
    </row>
    <row r="18" spans="1:12" ht="19.95" customHeight="1" x14ac:dyDescent="0.3">
      <c r="A18" s="7">
        <v>14</v>
      </c>
      <c r="B18" s="7" t="s">
        <v>54</v>
      </c>
      <c r="C18" s="7" t="s">
        <v>55</v>
      </c>
      <c r="D18" s="8" t="s">
        <v>56</v>
      </c>
      <c r="E18" s="7" t="s">
        <v>161</v>
      </c>
      <c r="F18" s="9" t="s">
        <v>16</v>
      </c>
      <c r="G18" s="10">
        <v>14929.99</v>
      </c>
      <c r="H18" s="10">
        <v>5530.99</v>
      </c>
      <c r="I18" s="7" t="s">
        <v>17</v>
      </c>
      <c r="J18" s="7" t="s">
        <v>18</v>
      </c>
      <c r="K18" s="7">
        <v>3</v>
      </c>
      <c r="L18" s="10">
        <v>4976.66</v>
      </c>
    </row>
    <row r="19" spans="1:12" ht="19.95" customHeight="1" x14ac:dyDescent="0.3">
      <c r="A19" s="3">
        <v>15</v>
      </c>
      <c r="B19" s="3" t="s">
        <v>57</v>
      </c>
      <c r="C19" s="3" t="s">
        <v>58</v>
      </c>
      <c r="D19" s="4" t="s">
        <v>59</v>
      </c>
      <c r="E19" s="3" t="s">
        <v>163</v>
      </c>
      <c r="F19" s="5" t="s">
        <v>16</v>
      </c>
      <c r="G19" s="6">
        <v>63600</v>
      </c>
      <c r="H19" s="6">
        <v>0</v>
      </c>
      <c r="I19" s="3" t="s">
        <v>17</v>
      </c>
      <c r="J19" s="3" t="s">
        <v>18</v>
      </c>
      <c r="K19" s="3">
        <v>6</v>
      </c>
      <c r="L19" s="6">
        <v>10600</v>
      </c>
    </row>
    <row r="20" spans="1:12" ht="19.95" customHeight="1" x14ac:dyDescent="0.3">
      <c r="A20" s="7">
        <v>16</v>
      </c>
      <c r="B20" s="7" t="s">
        <v>60</v>
      </c>
      <c r="C20" s="7" t="s">
        <v>61</v>
      </c>
      <c r="D20" s="8" t="s">
        <v>62</v>
      </c>
      <c r="E20" s="7" t="s">
        <v>163</v>
      </c>
      <c r="F20" s="9" t="s">
        <v>16</v>
      </c>
      <c r="G20" s="10">
        <v>17259</v>
      </c>
      <c r="H20" s="10">
        <v>4490</v>
      </c>
      <c r="I20" s="7" t="s">
        <v>17</v>
      </c>
      <c r="J20" s="7" t="s">
        <v>18</v>
      </c>
      <c r="K20" s="7">
        <v>2</v>
      </c>
      <c r="L20" s="10">
        <v>8629.5</v>
      </c>
    </row>
    <row r="21" spans="1:12" ht="19.95" customHeight="1" x14ac:dyDescent="0.3">
      <c r="A21" s="3">
        <v>17</v>
      </c>
      <c r="B21" s="3" t="s">
        <v>63</v>
      </c>
      <c r="C21" s="3" t="s">
        <v>64</v>
      </c>
      <c r="D21" s="4" t="s">
        <v>65</v>
      </c>
      <c r="E21" s="3" t="s">
        <v>162</v>
      </c>
      <c r="F21" s="5" t="s">
        <v>16</v>
      </c>
      <c r="G21" s="6">
        <v>78343</v>
      </c>
      <c r="H21" s="6">
        <v>0</v>
      </c>
      <c r="I21" s="3" t="s">
        <v>17</v>
      </c>
      <c r="J21" s="3" t="s">
        <v>18</v>
      </c>
      <c r="K21" s="3">
        <v>3</v>
      </c>
      <c r="L21" s="6">
        <v>26114.33</v>
      </c>
    </row>
    <row r="22" spans="1:12" ht="19.95" customHeight="1" x14ac:dyDescent="0.3">
      <c r="A22" s="7">
        <v>18</v>
      </c>
      <c r="B22" s="7" t="s">
        <v>63</v>
      </c>
      <c r="C22" s="7" t="s">
        <v>66</v>
      </c>
      <c r="D22" s="8" t="s">
        <v>67</v>
      </c>
      <c r="E22" s="7" t="s">
        <v>163</v>
      </c>
      <c r="F22" s="9" t="s">
        <v>16</v>
      </c>
      <c r="G22" s="10">
        <v>28325.3</v>
      </c>
      <c r="H22" s="10">
        <v>0</v>
      </c>
      <c r="I22" s="7" t="s">
        <v>21</v>
      </c>
      <c r="J22" s="7" t="s">
        <v>21</v>
      </c>
      <c r="K22" s="7">
        <v>1</v>
      </c>
      <c r="L22" s="10">
        <v>0</v>
      </c>
    </row>
    <row r="23" spans="1:12" ht="19.95" customHeight="1" x14ac:dyDescent="0.3">
      <c r="A23" s="3">
        <v>19</v>
      </c>
      <c r="B23" s="3" t="s">
        <v>63</v>
      </c>
      <c r="C23" s="3" t="s">
        <v>66</v>
      </c>
      <c r="D23" s="4" t="s">
        <v>68</v>
      </c>
      <c r="E23" s="3" t="s">
        <v>164</v>
      </c>
      <c r="F23" s="5" t="s">
        <v>16</v>
      </c>
      <c r="G23" s="6">
        <v>25950</v>
      </c>
      <c r="H23" s="6">
        <v>0</v>
      </c>
      <c r="I23" s="3" t="s">
        <v>21</v>
      </c>
      <c r="J23" s="3" t="s">
        <v>21</v>
      </c>
      <c r="K23" s="3">
        <v>1</v>
      </c>
      <c r="L23" s="6">
        <v>0</v>
      </c>
    </row>
    <row r="24" spans="1:12" ht="19.95" customHeight="1" x14ac:dyDescent="0.3">
      <c r="A24" s="7">
        <v>20</v>
      </c>
      <c r="B24" s="7" t="s">
        <v>63</v>
      </c>
      <c r="C24" s="7" t="s">
        <v>69</v>
      </c>
      <c r="D24" s="8" t="s">
        <v>70</v>
      </c>
      <c r="E24" s="7" t="s">
        <v>163</v>
      </c>
      <c r="F24" s="9" t="s">
        <v>16</v>
      </c>
      <c r="G24" s="10">
        <v>22500</v>
      </c>
      <c r="H24" s="10">
        <v>0</v>
      </c>
      <c r="I24" s="7" t="s">
        <v>17</v>
      </c>
      <c r="J24" s="7" t="s">
        <v>18</v>
      </c>
      <c r="K24" s="7">
        <v>6</v>
      </c>
      <c r="L24" s="10">
        <v>3750</v>
      </c>
    </row>
    <row r="25" spans="1:12" ht="19.95" customHeight="1" x14ac:dyDescent="0.3">
      <c r="A25" s="3">
        <v>21</v>
      </c>
      <c r="B25" s="3" t="s">
        <v>71</v>
      </c>
      <c r="C25" s="3" t="s">
        <v>72</v>
      </c>
      <c r="D25" s="4" t="s">
        <v>73</v>
      </c>
      <c r="E25" s="3" t="s">
        <v>163</v>
      </c>
      <c r="F25" s="5" t="s">
        <v>16</v>
      </c>
      <c r="G25" s="6">
        <v>44500</v>
      </c>
      <c r="H25" s="6">
        <v>0</v>
      </c>
      <c r="I25" s="3" t="s">
        <v>17</v>
      </c>
      <c r="J25" s="3" t="s">
        <v>18</v>
      </c>
      <c r="K25" s="3">
        <v>6</v>
      </c>
      <c r="L25" s="6">
        <v>7416.67</v>
      </c>
    </row>
    <row r="26" spans="1:12" ht="19.95" customHeight="1" x14ac:dyDescent="0.3">
      <c r="A26" s="7">
        <v>22</v>
      </c>
      <c r="B26" s="7" t="s">
        <v>74</v>
      </c>
      <c r="C26" s="7" t="s">
        <v>75</v>
      </c>
      <c r="D26" s="8" t="s">
        <v>76</v>
      </c>
      <c r="E26" s="7" t="s">
        <v>163</v>
      </c>
      <c r="F26" s="9" t="s">
        <v>16</v>
      </c>
      <c r="G26" s="10">
        <v>104000</v>
      </c>
      <c r="H26" s="10">
        <v>0</v>
      </c>
      <c r="I26" s="7" t="s">
        <v>17</v>
      </c>
      <c r="J26" s="7" t="s">
        <v>18</v>
      </c>
      <c r="K26" s="7">
        <v>6</v>
      </c>
      <c r="L26" s="10">
        <v>17333.330000000002</v>
      </c>
    </row>
    <row r="27" spans="1:12" ht="19.95" customHeight="1" x14ac:dyDescent="0.3">
      <c r="A27" s="3">
        <v>23</v>
      </c>
      <c r="B27" s="3" t="s">
        <v>77</v>
      </c>
      <c r="C27" s="3" t="s">
        <v>78</v>
      </c>
      <c r="D27" s="4" t="s">
        <v>79</v>
      </c>
      <c r="E27" s="3" t="s">
        <v>166</v>
      </c>
      <c r="F27" s="5" t="s">
        <v>16</v>
      </c>
      <c r="G27" s="6">
        <v>113888.25</v>
      </c>
      <c r="H27" s="6">
        <v>0</v>
      </c>
      <c r="I27" s="3" t="s">
        <v>17</v>
      </c>
      <c r="J27" s="3" t="s">
        <v>18</v>
      </c>
      <c r="K27" s="3">
        <v>6</v>
      </c>
      <c r="L27" s="6">
        <v>18981.38</v>
      </c>
    </row>
    <row r="28" spans="1:12" ht="19.95" customHeight="1" x14ac:dyDescent="0.3">
      <c r="A28" s="7">
        <v>24</v>
      </c>
      <c r="B28" s="7" t="s">
        <v>77</v>
      </c>
      <c r="C28" s="7" t="s">
        <v>80</v>
      </c>
      <c r="D28" s="8" t="s">
        <v>81</v>
      </c>
      <c r="E28" s="7" t="s">
        <v>166</v>
      </c>
      <c r="F28" s="9" t="s">
        <v>16</v>
      </c>
      <c r="G28" s="10">
        <v>61999</v>
      </c>
      <c r="H28" s="10">
        <v>0</v>
      </c>
      <c r="I28" s="7" t="s">
        <v>17</v>
      </c>
      <c r="J28" s="7" t="s">
        <v>18</v>
      </c>
      <c r="K28" s="7">
        <v>6</v>
      </c>
      <c r="L28" s="10">
        <v>10333.17</v>
      </c>
    </row>
    <row r="29" spans="1:12" ht="19.95" customHeight="1" x14ac:dyDescent="0.3">
      <c r="A29" s="3">
        <v>25</v>
      </c>
      <c r="B29" s="3" t="s">
        <v>82</v>
      </c>
      <c r="C29" s="3" t="s">
        <v>83</v>
      </c>
      <c r="D29" s="4" t="s">
        <v>65</v>
      </c>
      <c r="E29" s="3" t="s">
        <v>162</v>
      </c>
      <c r="F29" s="5" t="s">
        <v>16</v>
      </c>
      <c r="G29" s="6">
        <v>78343</v>
      </c>
      <c r="H29" s="6">
        <v>0</v>
      </c>
      <c r="I29" s="3" t="s">
        <v>17</v>
      </c>
      <c r="J29" s="3" t="s">
        <v>18</v>
      </c>
      <c r="K29" s="3">
        <v>3</v>
      </c>
      <c r="L29" s="6">
        <v>26114.33</v>
      </c>
    </row>
    <row r="30" spans="1:12" ht="19.95" customHeight="1" x14ac:dyDescent="0.3">
      <c r="A30" s="7">
        <v>26</v>
      </c>
      <c r="B30" s="7" t="s">
        <v>84</v>
      </c>
      <c r="C30" s="7" t="s">
        <v>85</v>
      </c>
      <c r="D30" s="8" t="s">
        <v>86</v>
      </c>
      <c r="E30" s="7" t="s">
        <v>167</v>
      </c>
      <c r="F30" s="9" t="s">
        <v>16</v>
      </c>
      <c r="G30" s="10">
        <v>17565.990000000002</v>
      </c>
      <c r="H30" s="10">
        <v>7565.99</v>
      </c>
      <c r="I30" s="7" t="s">
        <v>17</v>
      </c>
      <c r="J30" s="7" t="s">
        <v>18</v>
      </c>
      <c r="K30" s="7">
        <v>2</v>
      </c>
      <c r="L30" s="10">
        <v>8783</v>
      </c>
    </row>
    <row r="31" spans="1:12" ht="19.95" customHeight="1" x14ac:dyDescent="0.3">
      <c r="A31" s="3">
        <v>27</v>
      </c>
      <c r="B31" s="3" t="s">
        <v>87</v>
      </c>
      <c r="C31" s="3" t="s">
        <v>88</v>
      </c>
      <c r="D31" s="4" t="s">
        <v>89</v>
      </c>
      <c r="E31" s="3" t="s">
        <v>166</v>
      </c>
      <c r="F31" s="5" t="s">
        <v>16</v>
      </c>
      <c r="G31" s="6">
        <v>19990</v>
      </c>
      <c r="H31" s="6">
        <v>0</v>
      </c>
      <c r="I31" s="3" t="s">
        <v>17</v>
      </c>
      <c r="J31" s="3" t="s">
        <v>18</v>
      </c>
      <c r="K31" s="3">
        <v>3</v>
      </c>
      <c r="L31" s="6">
        <v>6663.33</v>
      </c>
    </row>
    <row r="32" spans="1:12" ht="19.95" customHeight="1" x14ac:dyDescent="0.3">
      <c r="A32" s="7">
        <v>28</v>
      </c>
      <c r="B32" s="7" t="s">
        <v>90</v>
      </c>
      <c r="C32" s="7" t="s">
        <v>91</v>
      </c>
      <c r="D32" s="8" t="s">
        <v>92</v>
      </c>
      <c r="E32" s="7" t="s">
        <v>163</v>
      </c>
      <c r="F32" s="9" t="s">
        <v>16</v>
      </c>
      <c r="G32" s="10">
        <v>19384.2</v>
      </c>
      <c r="H32" s="10">
        <v>0</v>
      </c>
      <c r="I32" s="7" t="s">
        <v>17</v>
      </c>
      <c r="J32" s="7" t="s">
        <v>18</v>
      </c>
      <c r="K32" s="7">
        <v>2</v>
      </c>
      <c r="L32" s="10">
        <v>9692.1</v>
      </c>
    </row>
    <row r="33" spans="1:12" ht="19.95" customHeight="1" x14ac:dyDescent="0.3">
      <c r="A33" s="3">
        <v>29</v>
      </c>
      <c r="B33" s="3" t="s">
        <v>93</v>
      </c>
      <c r="C33" s="3" t="s">
        <v>94</v>
      </c>
      <c r="D33" s="4" t="s">
        <v>95</v>
      </c>
      <c r="E33" s="3" t="s">
        <v>164</v>
      </c>
      <c r="F33" s="5" t="s">
        <v>16</v>
      </c>
      <c r="G33" s="6">
        <v>12799.6</v>
      </c>
      <c r="H33" s="6">
        <v>0</v>
      </c>
      <c r="I33" s="3" t="s">
        <v>21</v>
      </c>
      <c r="J33" s="3" t="s">
        <v>21</v>
      </c>
      <c r="K33" s="3">
        <v>1</v>
      </c>
      <c r="L33" s="6">
        <v>0</v>
      </c>
    </row>
    <row r="34" spans="1:12" ht="19.95" customHeight="1" x14ac:dyDescent="0.3">
      <c r="A34" s="7">
        <v>30</v>
      </c>
      <c r="B34" s="7" t="s">
        <v>96</v>
      </c>
      <c r="C34" s="7" t="s">
        <v>97</v>
      </c>
      <c r="D34" s="8" t="s">
        <v>23</v>
      </c>
      <c r="E34" s="7" t="s">
        <v>162</v>
      </c>
      <c r="F34" s="9" t="s">
        <v>16</v>
      </c>
      <c r="G34" s="10">
        <v>21360</v>
      </c>
      <c r="H34" s="10">
        <v>0</v>
      </c>
      <c r="I34" s="7" t="s">
        <v>17</v>
      </c>
      <c r="J34" s="7" t="s">
        <v>18</v>
      </c>
      <c r="K34" s="7">
        <v>2</v>
      </c>
      <c r="L34" s="10">
        <v>10680</v>
      </c>
    </row>
    <row r="35" spans="1:12" ht="19.95" customHeight="1" x14ac:dyDescent="0.3">
      <c r="A35" s="3">
        <v>31</v>
      </c>
      <c r="B35" s="3" t="s">
        <v>98</v>
      </c>
      <c r="C35" s="3" t="s">
        <v>99</v>
      </c>
      <c r="D35" s="4" t="s">
        <v>46</v>
      </c>
      <c r="E35" s="3" t="s">
        <v>163</v>
      </c>
      <c r="F35" s="5" t="s">
        <v>16</v>
      </c>
      <c r="G35" s="6">
        <v>16881.25</v>
      </c>
      <c r="H35" s="6">
        <v>0</v>
      </c>
      <c r="I35" s="3" t="s">
        <v>21</v>
      </c>
      <c r="J35" s="3" t="s">
        <v>21</v>
      </c>
      <c r="K35" s="3">
        <v>1</v>
      </c>
      <c r="L35" s="6">
        <v>0</v>
      </c>
    </row>
    <row r="36" spans="1:12" ht="19.95" customHeight="1" x14ac:dyDescent="0.3">
      <c r="A36" s="7">
        <v>32</v>
      </c>
      <c r="B36" s="7" t="s">
        <v>100</v>
      </c>
      <c r="C36" s="7" t="s">
        <v>101</v>
      </c>
      <c r="D36" s="8" t="s">
        <v>102</v>
      </c>
      <c r="E36" s="7" t="s">
        <v>164</v>
      </c>
      <c r="F36" s="9" t="s">
        <v>16</v>
      </c>
      <c r="G36" s="10">
        <v>59148</v>
      </c>
      <c r="H36" s="10">
        <v>0</v>
      </c>
      <c r="I36" s="7" t="s">
        <v>17</v>
      </c>
      <c r="J36" s="7" t="s">
        <v>18</v>
      </c>
      <c r="K36" s="7">
        <v>6</v>
      </c>
      <c r="L36" s="10">
        <v>9858</v>
      </c>
    </row>
    <row r="37" spans="1:12" ht="19.95" customHeight="1" x14ac:dyDescent="0.3">
      <c r="A37" s="3">
        <v>33</v>
      </c>
      <c r="B37" s="3" t="s">
        <v>103</v>
      </c>
      <c r="C37" s="3" t="s">
        <v>104</v>
      </c>
      <c r="D37" s="4" t="s">
        <v>105</v>
      </c>
      <c r="E37" s="3" t="s">
        <v>164</v>
      </c>
      <c r="F37" s="5" t="s">
        <v>16</v>
      </c>
      <c r="G37" s="6">
        <v>52542</v>
      </c>
      <c r="H37" s="6">
        <v>0</v>
      </c>
      <c r="I37" s="3" t="s">
        <v>17</v>
      </c>
      <c r="J37" s="3" t="s">
        <v>18</v>
      </c>
      <c r="K37" s="3">
        <v>2</v>
      </c>
      <c r="L37" s="6">
        <v>26271</v>
      </c>
    </row>
    <row r="38" spans="1:12" ht="19.95" customHeight="1" x14ac:dyDescent="0.3">
      <c r="A38" s="7">
        <v>34</v>
      </c>
      <c r="B38" s="7" t="s">
        <v>106</v>
      </c>
      <c r="C38" s="7" t="s">
        <v>107</v>
      </c>
      <c r="D38" s="8" t="s">
        <v>108</v>
      </c>
      <c r="E38" s="7" t="s">
        <v>162</v>
      </c>
      <c r="F38" s="9" t="s">
        <v>16</v>
      </c>
      <c r="G38" s="10">
        <v>25693</v>
      </c>
      <c r="H38" s="10">
        <v>0</v>
      </c>
      <c r="I38" s="7" t="s">
        <v>17</v>
      </c>
      <c r="J38" s="7" t="s">
        <v>18</v>
      </c>
      <c r="K38" s="7">
        <v>1</v>
      </c>
      <c r="L38" s="10">
        <v>25693</v>
      </c>
    </row>
    <row r="39" spans="1:12" ht="19.95" customHeight="1" x14ac:dyDescent="0.3">
      <c r="A39" s="3">
        <v>35</v>
      </c>
      <c r="B39" s="3" t="s">
        <v>109</v>
      </c>
      <c r="C39" s="3" t="s">
        <v>14</v>
      </c>
      <c r="D39" s="4" t="s">
        <v>110</v>
      </c>
      <c r="E39" s="3" t="s">
        <v>162</v>
      </c>
      <c r="F39" s="5" t="s">
        <v>16</v>
      </c>
      <c r="G39" s="6">
        <v>16545.2</v>
      </c>
      <c r="H39" s="6">
        <v>0</v>
      </c>
      <c r="I39" s="3" t="s">
        <v>21</v>
      </c>
      <c r="J39" s="3" t="s">
        <v>21</v>
      </c>
      <c r="K39" s="3">
        <v>1</v>
      </c>
      <c r="L39" s="6">
        <v>0</v>
      </c>
    </row>
    <row r="40" spans="1:12" ht="19.95" customHeight="1" x14ac:dyDescent="0.3">
      <c r="A40" s="7">
        <v>36</v>
      </c>
      <c r="B40" s="7" t="s">
        <v>109</v>
      </c>
      <c r="C40" s="7" t="s">
        <v>14</v>
      </c>
      <c r="D40" s="8" t="s">
        <v>111</v>
      </c>
      <c r="E40" s="7" t="s">
        <v>163</v>
      </c>
      <c r="F40" s="9" t="s">
        <v>16</v>
      </c>
      <c r="G40" s="10">
        <v>55788.65</v>
      </c>
      <c r="H40" s="10">
        <v>0</v>
      </c>
      <c r="I40" s="7" t="s">
        <v>21</v>
      </c>
      <c r="J40" s="7" t="s">
        <v>21</v>
      </c>
      <c r="K40" s="7">
        <v>1</v>
      </c>
      <c r="L40" s="10">
        <v>0</v>
      </c>
    </row>
    <row r="41" spans="1:12" ht="19.95" customHeight="1" x14ac:dyDescent="0.3">
      <c r="A41" s="3">
        <v>37</v>
      </c>
      <c r="B41" s="3" t="s">
        <v>109</v>
      </c>
      <c r="C41" s="3" t="s">
        <v>14</v>
      </c>
      <c r="D41" s="4" t="s">
        <v>112</v>
      </c>
      <c r="E41" s="3" t="s">
        <v>163</v>
      </c>
      <c r="F41" s="5" t="s">
        <v>16</v>
      </c>
      <c r="G41" s="6">
        <v>20990</v>
      </c>
      <c r="H41" s="6">
        <v>0</v>
      </c>
      <c r="I41" s="3" t="s">
        <v>21</v>
      </c>
      <c r="J41" s="3" t="s">
        <v>21</v>
      </c>
      <c r="K41" s="3">
        <v>1</v>
      </c>
      <c r="L41" s="6">
        <v>0</v>
      </c>
    </row>
    <row r="42" spans="1:12" ht="19.95" customHeight="1" x14ac:dyDescent="0.3">
      <c r="A42" s="7">
        <v>38</v>
      </c>
      <c r="B42" s="7" t="s">
        <v>113</v>
      </c>
      <c r="C42" s="7" t="s">
        <v>104</v>
      </c>
      <c r="D42" s="8" t="s">
        <v>114</v>
      </c>
      <c r="E42" s="7" t="s">
        <v>163</v>
      </c>
      <c r="F42" s="9" t="s">
        <v>16</v>
      </c>
      <c r="G42" s="10">
        <v>69818.490000000005</v>
      </c>
      <c r="H42" s="10">
        <v>9018.49</v>
      </c>
      <c r="I42" s="7" t="s">
        <v>17</v>
      </c>
      <c r="J42" s="7" t="s">
        <v>18</v>
      </c>
      <c r="K42" s="7">
        <v>3</v>
      </c>
      <c r="L42" s="10">
        <v>23272.83</v>
      </c>
    </row>
    <row r="43" spans="1:12" ht="19.95" customHeight="1" x14ac:dyDescent="0.3">
      <c r="A43" s="3">
        <v>39</v>
      </c>
      <c r="B43" s="3" t="s">
        <v>115</v>
      </c>
      <c r="C43" s="3" t="s">
        <v>116</v>
      </c>
      <c r="D43" s="4" t="s">
        <v>117</v>
      </c>
      <c r="E43" s="3" t="s">
        <v>164</v>
      </c>
      <c r="F43" s="5" t="s">
        <v>16</v>
      </c>
      <c r="G43" s="6">
        <v>38990</v>
      </c>
      <c r="H43" s="6">
        <v>0</v>
      </c>
      <c r="I43" s="3" t="s">
        <v>17</v>
      </c>
      <c r="J43" s="3" t="s">
        <v>18</v>
      </c>
      <c r="K43" s="3">
        <v>1</v>
      </c>
      <c r="L43" s="6">
        <v>38990</v>
      </c>
    </row>
    <row r="44" spans="1:12" ht="19.95" customHeight="1" x14ac:dyDescent="0.3">
      <c r="A44" s="7">
        <v>40</v>
      </c>
      <c r="B44" s="7" t="s">
        <v>118</v>
      </c>
      <c r="C44" s="7" t="s">
        <v>119</v>
      </c>
      <c r="D44" s="8" t="s">
        <v>120</v>
      </c>
      <c r="E44" s="7" t="s">
        <v>164</v>
      </c>
      <c r="F44" s="9" t="s">
        <v>16</v>
      </c>
      <c r="G44" s="10">
        <v>49298.66</v>
      </c>
      <c r="H44" s="10">
        <v>0</v>
      </c>
      <c r="I44" s="7" t="s">
        <v>21</v>
      </c>
      <c r="J44" s="7" t="s">
        <v>21</v>
      </c>
      <c r="K44" s="7">
        <v>1</v>
      </c>
      <c r="L44" s="10">
        <v>0</v>
      </c>
    </row>
    <row r="45" spans="1:12" ht="19.95" customHeight="1" x14ac:dyDescent="0.3">
      <c r="A45" s="3">
        <v>41</v>
      </c>
      <c r="B45" s="3" t="s">
        <v>118</v>
      </c>
      <c r="C45" s="3" t="s">
        <v>119</v>
      </c>
      <c r="D45" s="4" t="s">
        <v>121</v>
      </c>
      <c r="E45" s="3" t="s">
        <v>164</v>
      </c>
      <c r="F45" s="5" t="s">
        <v>16</v>
      </c>
      <c r="G45" s="6">
        <v>14000</v>
      </c>
      <c r="H45" s="6">
        <v>0</v>
      </c>
      <c r="I45" s="3" t="s">
        <v>21</v>
      </c>
      <c r="J45" s="3" t="s">
        <v>21</v>
      </c>
      <c r="K45" s="3">
        <v>1</v>
      </c>
      <c r="L45" s="6">
        <v>0</v>
      </c>
    </row>
    <row r="46" spans="1:12" ht="19.95" customHeight="1" x14ac:dyDescent="0.3">
      <c r="A46" s="7">
        <v>42</v>
      </c>
      <c r="B46" s="7" t="s">
        <v>122</v>
      </c>
      <c r="C46" s="7" t="s">
        <v>123</v>
      </c>
      <c r="D46" s="8" t="s">
        <v>124</v>
      </c>
      <c r="E46" s="7" t="s">
        <v>162</v>
      </c>
      <c r="F46" s="11" t="s">
        <v>50</v>
      </c>
      <c r="G46" s="10">
        <v>0</v>
      </c>
      <c r="H46" s="10">
        <v>0</v>
      </c>
      <c r="I46" s="7" t="s">
        <v>125</v>
      </c>
      <c r="J46" s="7" t="s">
        <v>18</v>
      </c>
      <c r="K46" s="7">
        <v>1</v>
      </c>
      <c r="L46" s="10">
        <v>86986</v>
      </c>
    </row>
    <row r="47" spans="1:12" ht="19.95" customHeight="1" x14ac:dyDescent="0.3">
      <c r="A47" s="3">
        <v>43</v>
      </c>
      <c r="B47" s="3" t="s">
        <v>126</v>
      </c>
      <c r="C47" s="3" t="s">
        <v>127</v>
      </c>
      <c r="D47" s="4" t="s">
        <v>128</v>
      </c>
      <c r="E47" s="3" t="s">
        <v>164</v>
      </c>
      <c r="F47" s="5" t="s">
        <v>16</v>
      </c>
      <c r="G47" s="6">
        <v>90217.73</v>
      </c>
      <c r="H47" s="6">
        <v>0</v>
      </c>
      <c r="I47" s="3" t="s">
        <v>17</v>
      </c>
      <c r="J47" s="3" t="s">
        <v>18</v>
      </c>
      <c r="K47" s="3">
        <v>1</v>
      </c>
      <c r="L47" s="6">
        <v>86316.15</v>
      </c>
    </row>
    <row r="48" spans="1:12" ht="19.95" customHeight="1" x14ac:dyDescent="0.3">
      <c r="A48" s="7">
        <v>44</v>
      </c>
      <c r="B48" s="7" t="s">
        <v>129</v>
      </c>
      <c r="C48" s="7" t="s">
        <v>130</v>
      </c>
      <c r="D48" s="8" t="s">
        <v>131</v>
      </c>
      <c r="E48" s="7" t="s">
        <v>162</v>
      </c>
      <c r="F48" s="9" t="s">
        <v>16</v>
      </c>
      <c r="G48" s="10">
        <v>30190</v>
      </c>
      <c r="H48" s="10">
        <v>0</v>
      </c>
      <c r="I48" s="7" t="s">
        <v>17</v>
      </c>
      <c r="J48" s="7" t="s">
        <v>18</v>
      </c>
      <c r="K48" s="7">
        <v>1</v>
      </c>
      <c r="L48" s="10">
        <v>30190</v>
      </c>
    </row>
    <row r="49" spans="1:12" ht="19.95" customHeight="1" x14ac:dyDescent="0.3">
      <c r="A49" s="3">
        <v>45</v>
      </c>
      <c r="B49" s="3" t="s">
        <v>132</v>
      </c>
      <c r="C49" s="3" t="s">
        <v>133</v>
      </c>
      <c r="D49" s="4" t="s">
        <v>134</v>
      </c>
      <c r="E49" s="3" t="s">
        <v>161</v>
      </c>
      <c r="F49" s="5" t="s">
        <v>16</v>
      </c>
      <c r="G49" s="6">
        <v>21790</v>
      </c>
      <c r="H49" s="6">
        <v>0</v>
      </c>
      <c r="I49" s="3" t="s">
        <v>17</v>
      </c>
      <c r="J49" s="3" t="s">
        <v>18</v>
      </c>
      <c r="K49" s="3">
        <v>1</v>
      </c>
      <c r="L49" s="6">
        <v>21790</v>
      </c>
    </row>
    <row r="50" spans="1:12" ht="19.95" customHeight="1" x14ac:dyDescent="0.3">
      <c r="A50" s="7">
        <v>46</v>
      </c>
      <c r="B50" s="7" t="s">
        <v>135</v>
      </c>
      <c r="C50" s="7" t="s">
        <v>136</v>
      </c>
      <c r="D50" s="8" t="s">
        <v>120</v>
      </c>
      <c r="E50" s="7" t="s">
        <v>164</v>
      </c>
      <c r="F50" s="9" t="s">
        <v>16</v>
      </c>
      <c r="G50" s="10">
        <v>56740.82</v>
      </c>
      <c r="H50" s="10">
        <v>0</v>
      </c>
      <c r="I50" s="7" t="s">
        <v>17</v>
      </c>
      <c r="J50" s="7" t="s">
        <v>18</v>
      </c>
      <c r="K50" s="7">
        <v>3</v>
      </c>
      <c r="L50" s="10">
        <v>18913.61</v>
      </c>
    </row>
    <row r="51" spans="1:12" ht="19.95" customHeight="1" x14ac:dyDescent="0.3">
      <c r="A51" s="3">
        <v>47</v>
      </c>
      <c r="B51" s="3" t="s">
        <v>135</v>
      </c>
      <c r="C51" s="3" t="s">
        <v>37</v>
      </c>
      <c r="D51" s="4" t="s">
        <v>114</v>
      </c>
      <c r="E51" s="3" t="s">
        <v>163</v>
      </c>
      <c r="F51" s="5" t="s">
        <v>16</v>
      </c>
      <c r="G51" s="6">
        <v>68414.990000000005</v>
      </c>
      <c r="H51" s="6">
        <v>6414.99</v>
      </c>
      <c r="I51" s="3" t="s">
        <v>21</v>
      </c>
      <c r="J51" s="3" t="s">
        <v>21</v>
      </c>
      <c r="K51" s="3">
        <v>1</v>
      </c>
      <c r="L51" s="6">
        <v>0</v>
      </c>
    </row>
  </sheetData>
  <autoFilter ref="A4:L51" xr:uid="{00000000-0009-0000-0000-000000000000}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baseColWidth="10" defaultColWidth="8.88671875" defaultRowHeight="14.4" x14ac:dyDescent="0.3"/>
  <cols>
    <col min="1" max="1" width="64" customWidth="1"/>
    <col min="2" max="2" width="15" customWidth="1"/>
    <col min="3" max="3" width="42" customWidth="1"/>
    <col min="4" max="4" width="15" customWidth="1"/>
    <col min="5" max="5" width="53" customWidth="1"/>
    <col min="6" max="6" width="15" customWidth="1"/>
    <col min="7" max="7" width="80" customWidth="1"/>
    <col min="8" max="8" width="15" customWidth="1"/>
  </cols>
  <sheetData>
    <row r="1" spans="1:8" ht="30" customHeight="1" x14ac:dyDescent="0.3">
      <c r="A1" s="14" t="s">
        <v>137</v>
      </c>
      <c r="B1" s="15"/>
      <c r="C1" s="15"/>
      <c r="D1" s="15"/>
      <c r="E1" s="15"/>
      <c r="F1" s="15"/>
      <c r="G1" s="15"/>
    </row>
    <row r="2" spans="1:8" ht="18" customHeight="1" x14ac:dyDescent="0.3">
      <c r="A2" s="1" t="s">
        <v>138</v>
      </c>
    </row>
    <row r="4" spans="1:8" x14ac:dyDescent="0.3">
      <c r="A4" s="16" t="s">
        <v>139</v>
      </c>
      <c r="B4" s="17"/>
      <c r="C4" s="16" t="s">
        <v>140</v>
      </c>
      <c r="D4" s="17"/>
      <c r="E4" s="16" t="s">
        <v>141</v>
      </c>
      <c r="F4" s="17"/>
      <c r="G4" s="16" t="s">
        <v>142</v>
      </c>
      <c r="H4" s="17"/>
    </row>
    <row r="5" spans="1:8" ht="20.399999999999999" x14ac:dyDescent="0.3">
      <c r="A5" s="19" t="e">
        <f>'Historial de Compras'!#REF!</f>
        <v>#REF!</v>
      </c>
      <c r="B5" s="17"/>
      <c r="C5" s="18">
        <f>COUNTA('Historial de Compras'!A5:A51)</f>
        <v>47</v>
      </c>
      <c r="D5" s="17"/>
      <c r="E5" s="18">
        <f>COUNTIF('Historial de Compras'!F5:F51, "Pagado")</f>
        <v>45</v>
      </c>
      <c r="F5" s="17"/>
      <c r="G5" s="19" t="e">
        <f>'Historial de Compras'!#REF!/COUNTIF('Historial de Compras'!F5:F51, "Pagado")</f>
        <v>#REF!</v>
      </c>
      <c r="H5" s="17"/>
    </row>
    <row r="8" spans="1:8" ht="19.2" x14ac:dyDescent="0.45">
      <c r="A8" s="12" t="s">
        <v>143</v>
      </c>
      <c r="E8" s="12" t="s">
        <v>144</v>
      </c>
    </row>
    <row r="9" spans="1:8" ht="16.8" x14ac:dyDescent="0.3">
      <c r="A9" s="13" t="s">
        <v>145</v>
      </c>
      <c r="B9" s="13" t="s">
        <v>146</v>
      </c>
      <c r="C9" s="13" t="s">
        <v>147</v>
      </c>
      <c r="E9" s="13" t="s">
        <v>10</v>
      </c>
      <c r="F9" s="13" t="s">
        <v>146</v>
      </c>
      <c r="G9" s="13" t="s">
        <v>147</v>
      </c>
    </row>
    <row r="10" spans="1:8" ht="15" x14ac:dyDescent="0.3">
      <c r="A10" s="7" t="s">
        <v>148</v>
      </c>
      <c r="B10" s="7">
        <v>2</v>
      </c>
      <c r="C10" s="10">
        <v>125155.81</v>
      </c>
      <c r="E10" s="7" t="s">
        <v>21</v>
      </c>
      <c r="F10" s="7">
        <v>12</v>
      </c>
      <c r="G10" s="10">
        <v>475117.1</v>
      </c>
    </row>
    <row r="11" spans="1:8" ht="15" x14ac:dyDescent="0.3">
      <c r="A11" s="3" t="s">
        <v>149</v>
      </c>
      <c r="B11" s="3">
        <v>2</v>
      </c>
      <c r="C11" s="6">
        <v>51980</v>
      </c>
      <c r="E11" s="3" t="s">
        <v>18</v>
      </c>
      <c r="F11" s="3">
        <v>33</v>
      </c>
      <c r="G11" s="6">
        <v>1586079.2</v>
      </c>
    </row>
    <row r="12" spans="1:8" ht="15" x14ac:dyDescent="0.3">
      <c r="A12" s="7" t="s">
        <v>150</v>
      </c>
      <c r="B12" s="7">
        <v>1</v>
      </c>
      <c r="C12" s="10">
        <v>90217.73</v>
      </c>
    </row>
    <row r="13" spans="1:8" ht="15" x14ac:dyDescent="0.3">
      <c r="A13" s="3" t="s">
        <v>151</v>
      </c>
      <c r="B13" s="3">
        <v>3</v>
      </c>
      <c r="C13" s="6">
        <v>102288.66</v>
      </c>
    </row>
    <row r="14" spans="1:8" ht="15" x14ac:dyDescent="0.3">
      <c r="A14" s="7" t="s">
        <v>152</v>
      </c>
      <c r="B14" s="7">
        <v>1</v>
      </c>
      <c r="C14" s="10">
        <v>69818.490000000005</v>
      </c>
    </row>
    <row r="15" spans="1:8" ht="15" x14ac:dyDescent="0.3">
      <c r="A15" s="3" t="s">
        <v>153</v>
      </c>
      <c r="B15" s="3">
        <v>8</v>
      </c>
      <c r="C15" s="6">
        <v>268948.09999999998</v>
      </c>
    </row>
    <row r="16" spans="1:8" ht="15" x14ac:dyDescent="0.3">
      <c r="A16" s="7" t="s">
        <v>154</v>
      </c>
      <c r="B16" s="7">
        <v>7</v>
      </c>
      <c r="C16" s="10">
        <v>323970.03999999998</v>
      </c>
    </row>
    <row r="17" spans="1:3" ht="15" x14ac:dyDescent="0.3">
      <c r="A17" s="3" t="s">
        <v>155</v>
      </c>
      <c r="B17" s="3">
        <v>8</v>
      </c>
      <c r="C17" s="6">
        <v>384477.3</v>
      </c>
    </row>
    <row r="18" spans="1:3" ht="15" x14ac:dyDescent="0.3">
      <c r="A18" s="7" t="s">
        <v>156</v>
      </c>
      <c r="B18" s="7">
        <v>1</v>
      </c>
      <c r="C18" s="10">
        <v>14929.99</v>
      </c>
    </row>
    <row r="19" spans="1:3" ht="15" x14ac:dyDescent="0.3">
      <c r="A19" s="3" t="s">
        <v>157</v>
      </c>
      <c r="B19" s="3">
        <v>3</v>
      </c>
      <c r="C19" s="6">
        <v>218769</v>
      </c>
    </row>
    <row r="20" spans="1:3" ht="15" x14ac:dyDescent="0.3">
      <c r="A20" s="7" t="s">
        <v>158</v>
      </c>
      <c r="B20" s="7">
        <v>5</v>
      </c>
      <c r="C20" s="10">
        <v>151631.73000000001</v>
      </c>
    </row>
    <row r="21" spans="1:3" ht="15" x14ac:dyDescent="0.3">
      <c r="A21" s="3" t="s">
        <v>159</v>
      </c>
      <c r="B21" s="3">
        <v>4</v>
      </c>
      <c r="C21" s="6">
        <v>259009.45</v>
      </c>
    </row>
  </sheetData>
  <mergeCells count="9">
    <mergeCell ref="A4:B4"/>
    <mergeCell ref="G4:H4"/>
    <mergeCell ref="E4:F4"/>
    <mergeCell ref="A1:G1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Historial de Compras</vt:lpstr>
      <vt:lpstr>Resumen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Sorondo</cp:lastModifiedBy>
  <dcterms:created xsi:type="dcterms:W3CDTF">2026-08-20T21:24:59Z</dcterms:created>
  <dcterms:modified xsi:type="dcterms:W3CDTF">2026-08-24T21:16:08Z</dcterms:modified>
</cp:coreProperties>
</file>